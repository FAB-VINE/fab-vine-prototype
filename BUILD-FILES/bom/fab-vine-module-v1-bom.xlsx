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116374f24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V1" sheetId="1" r:id="R1575f5043e4641fe"/>
    <x:sheet xmlns:r="http://schemas.openxmlformats.org/officeDocument/2006/relationships" name="Power Plan" sheetId="2" r:id="R87add5bfe10f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##"/>
    <x:numFmt numFmtId="202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sz val="11"/>
      <x:color rgb="FFEFFFF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B66"/>
      </x:patternFill>
    </x:fill>
    <x:fill>
      <x:patternFill patternType="solid">
        <x:fgColor rgb="FF10221D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905d6cfe6447e" /><Relationship Type="http://schemas.openxmlformats.org/officeDocument/2006/relationships/theme" Target="/xl/theme/theme1.xml" Id="R7702f19e68b94903" /><Relationship Type="http://schemas.openxmlformats.org/officeDocument/2006/relationships/sharedStrings" Target="/xl/sharedStrings.xml" Id="R306fb1df0ea84ace" /><Relationship Type="http://schemas.openxmlformats.org/officeDocument/2006/relationships/worksheet" Target="/xl/worksheets/sheet1.xml" Id="R1575f5043e4641fe" /><Relationship Type="http://schemas.openxmlformats.org/officeDocument/2006/relationships/worksheet" Target="/xl/worksheets/sheet2.xml" Id="R87add5bfe10f4847" /></Relationships>
</file>

<file path=xl/tables/table1.xml><?xml version="1.0" encoding="utf-8"?>
<x:table xmlns:x="http://schemas.openxmlformats.org/spreadsheetml/2006/main" id="1" name="BomV1Table" displayName="BomV1Table" ref="A1:L9" headerRowCount="1">
  <x:tableColumns count="12">
    <x:tableColumn id="1" name="Categoria"/>
    <x:tableColumn id="2" name="Componente"/>
    <x:tableColumn id="3" name="Cantidad por modulo"/>
    <x:tableColumn id="4" name="Cantidad total 60 modulos"/>
    <x:tableColumn id="5" name="Opcion recomendada"/>
    <x:tableColumn id="6" name="Precio bajo"/>
    <x:tableColumn id="7" name="Precio alto"/>
    <x:tableColumn id="8" name="Total bajo"/>
    <x:tableColumn id="9" name="Total alto"/>
    <x:tableColumn id="10" name="Enlace"/>
    <x:tableColumn id="11" name="Estado"/>
    <x:tableColumn id="12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0f81c7767149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3.75" hidden="0" customWidth="1"/>
    <x:col min="4" max="4" width="16.25" hidden="0" customWidth="1"/>
    <x:col min="5" max="5" width="32.5" hidden="0" customWidth="1"/>
    <x:col min="6" max="6" width="11.880000114440918" hidden="0" customWidth="1"/>
    <x:col min="7" max="7" width="11.880000114440918" hidden="0" customWidth="1"/>
    <x:col min="8" max="8" width="13.130000114440918" hidden="0" customWidth="1"/>
    <x:col min="9" max="9" width="13.130000114440918" hidden="0" customWidth="1"/>
    <x:col min="10" max="10" width="38.75" hidden="0" customWidth="1"/>
    <x:col min="11" max="11" width="11.880000114440918" hidden="0" customWidth="1"/>
    <x:col min="12" max="12" width="38.75" hidden="0" customWidth="1"/>
  </x:cols>
  <x:sheetData>
    <x:row r="1">
      <x:c r="A1" s="9" t="str">
        <x:v>Categoria</x:v>
      </x:c>
      <x:c r="B1" s="9" t="str">
        <x:v>Componente</x:v>
      </x:c>
      <x:c r="C1" s="9" t="str">
        <x:v>Cantidad por modulo</x:v>
      </x:c>
      <x:c r="D1" s="9" t="str">
        <x:v>Cantidad total 60 modulos</x:v>
      </x:c>
      <x:c r="E1" s="9" t="str">
        <x:v>Opcion recomendada</x:v>
      </x:c>
      <x:c r="F1" s="9" t="str">
        <x:v>Precio bajo</x:v>
      </x:c>
      <x:c r="G1" s="9" t="str">
        <x:v>Precio alto</x:v>
      </x:c>
      <x:c r="H1" s="9" t="str">
        <x:v>Total bajo</x:v>
      </x:c>
      <x:c r="I1" s="9" t="str">
        <x:v>Total alto</x:v>
      </x:c>
      <x:c r="J1" s="9" t="str">
        <x:v>Enlace</x:v>
      </x:c>
      <x:c r="K1" s="9" t="str">
        <x:v>Estado</x:v>
      </x:c>
      <x:c r="L1" s="9" t="str">
        <x:v>Notas</x:v>
      </x:c>
    </x:row>
    <x:row r="2" ht="40.5" customHeight="1">
      <x:c r="A2" s="10" t="str">
        <x:v>Microcontrolador</x:v>
      </x:c>
      <x:c r="B2" s="10" t="str">
        <x:v>Seeed Studio XIAO ESP32-C6</x:v>
      </x:c>
      <x:c r="C2" s="11" t="n">
        <x:v>1</x:v>
      </x:c>
      <x:c r="D2" s="11" t="n">
        <x:f>C2*60</x:f>
        <x:v>60</x:v>
      </x:c>
      <x:c r="E2" s="10" t="str">
        <x:v>XIAO ESP32-C6</x:v>
      </x:c>
      <x:c r="F2" s="12" t="n">
        <x:v>5</x:v>
      </x:c>
      <x:c r="G2" s="12" t="n">
        <x:v>7</x:v>
      </x:c>
      <x:c r="H2" s="12" t="n">
        <x:f>D2*F2</x:f>
        <x:v>300</x:v>
      </x:c>
      <x:c r="I2" s="12" t="n">
        <x:f>D2*G2</x:f>
        <x:v>420</x:v>
      </x:c>
      <x:c r="J2" s="10" t="str">
        <x:v>https://www.seeedstudio.com/Seeed-Studio-XIAO-ESP32C6-p-5884.html</x:v>
      </x:c>
      <x:c r="K2" s="10" t="str">
        <x:v>Decidido</x:v>
      </x:c>
      <x:c r="L2" s="10" t="str">
        <x:v>Cerebro del modulo.</x:v>
      </x:c>
    </x:row>
    <x:row r="3" ht="40.5" customHeight="1">
      <x:c r="A3" s="10" t="str">
        <x:v>Audio</x:v>
      </x:c>
      <x:c r="B3" s="10" t="str">
        <x:v>Microfono digital I2S</x:v>
      </x:c>
      <x:c r="C3" s="11" t="n">
        <x:v>1</x:v>
      </x:c>
      <x:c r="D3" s="11" t="n">
        <x:f>C3*60</x:f>
        <x:v>60</x:v>
      </x:c>
      <x:c r="E3" s="10" t="str">
        <x:v>INMP441 I2S MEMS</x:v>
      </x:c>
      <x:c r="F3" s="12" t="n">
        <x:v>1.5</x:v>
      </x:c>
      <x:c r="G3" s="12" t="n">
        <x:v>4</x:v>
      </x:c>
      <x:c r="H3" s="12" t="n">
        <x:f>D3*F3</x:f>
        <x:v>90</x:v>
      </x:c>
      <x:c r="I3" s="12" t="n">
        <x:f>D3*G3</x:f>
        <x:v>240</x:v>
      </x:c>
      <x:c r="J3" s="10" t="str">
        <x:v>https://www.amazon.com/-/es/micr%C3%B3fono-omnidireccional-INMP441-compatible-precisi%C3%B3n/dp/B0C1C64R8S/</x:v>
      </x:c>
      <x:c r="K3" s="10" t="str">
        <x:v>Decidido</x:v>
      </x:c>
      <x:c r="L3" s="10" t="str">
        <x:v>Usualmente viene en pack.</x:v>
      </x:c>
    </x:row>
    <x:row r="4" ht="40.5" customHeight="1">
      <x:c r="A4" s="10" t="str">
        <x:v>Pantalla</x:v>
      </x:c>
      <x:c r="B4" s="10" t="str">
        <x:v>OLED 128x64 I2C</x:v>
      </x:c>
      <x:c r="C4" s="11" t="n">
        <x:v>1</x:v>
      </x:c>
      <x:c r="D4" s="11" t="n">
        <x:f>C4*60</x:f>
        <x:v>60</x:v>
      </x:c>
      <x:c r="E4" s="10" t="str">
        <x:v>SSD1306 0.96 in</x:v>
      </x:c>
      <x:c r="F4" s="12" t="n">
        <x:v>2.5</x:v>
      </x:c>
      <x:c r="G4" s="12" t="n">
        <x:v>4</x:v>
      </x:c>
      <x:c r="H4" s="12" t="n">
        <x:f>D4*F4</x:f>
        <x:v>150</x:v>
      </x:c>
      <x:c r="I4" s="12" t="n">
        <x:f>D4*G4</x:f>
        <x:v>240</x:v>
      </x:c>
      <x:c r="J4" s="10" t="str">
        <x:v>https://www.amazon.com/-/es/gp/product/B09T6SJBV5</x:v>
      </x:c>
      <x:c r="K4" s="10" t="str">
        <x:v>Decidido</x:v>
      </x:c>
      <x:c r="L4" s="10" t="str">
        <x:v>I2C, compatible con firmware actual.</x:v>
      </x:c>
    </x:row>
    <x:row r="5" ht="40.5" customHeight="1">
      <x:c r="A5" s="10" t="str">
        <x:v>Iluminacion</x:v>
      </x:c>
      <x:c r="B5" s="10" t="str">
        <x:v>Tira LED direccionable</x:v>
      </x:c>
      <x:c r="C5" s="11" t="n">
        <x:v>1</x:v>
      </x:c>
      <x:c r="D5" s="11" t="n">
        <x:f>C5*60</x:f>
        <x:v>60</x:v>
      </x:c>
      <x:c r="E5" s="10" t="str">
        <x:v>WS2812B / NeoPixel 5V, 4 tiras de 10 LEDs</x:v>
      </x:c>
      <x:c r="F5" s="12" t="n">
        <x:v>4</x:v>
      </x:c>
      <x:c r="G5" s="12" t="n">
        <x:v>8</x:v>
      </x:c>
      <x:c r="H5" s="12" t="n">
        <x:f>D5*F5</x:f>
        <x:v>240</x:v>
      </x:c>
      <x:c r="I5" s="12" t="n">
        <x:f>D5*G5</x:f>
        <x:v>480</x:v>
      </x:c>
      <x:c r="J5" s="10" t="str">
        <x:v>https://www.amazon.com/-/es/gp/product/B0CYGZWWXJ</x:v>
      </x:c>
      <x:c r="K5" s="10" t="str">
        <x:v>Decidido</x:v>
      </x:c>
      <x:c r="L5" s="10" t="str">
        <x:v>40 LEDs por modulo; elegir variante 5V.</x:v>
      </x:c>
    </x:row>
    <x:row r="6" ht="40.5" customHeight="1">
      <x:c r="A6" s="10" t="str">
        <x:v>Alimentacion / senal</x:v>
      </x:c>
      <x:c r="B6" s="10" t="str">
        <x:v>Micro-Fit 3.0 pre-armado</x:v>
      </x:c>
      <x:c r="C6" s="11" t="n">
        <x:v>2</x:v>
      </x:c>
      <x:c r="D6" s="11" t="n">
        <x:f>C6*60</x:f>
        <x:v>120</x:v>
      </x:c>
      <x:c r="E6" s="10" t="str">
        <x:v>4-pin pigtail / cable assembly</x:v>
      </x:c>
      <x:c r="F6" s="12" t="n">
        <x:v>2</x:v>
      </x:c>
      <x:c r="G6" s="12" t="n">
        <x:v>6</x:v>
      </x:c>
      <x:c r="H6" s="12" t="n">
        <x:f>D6*F6</x:f>
        <x:v>240</x:v>
      </x:c>
      <x:c r="I6" s="12" t="n">
        <x:f>D6*G6</x:f>
        <x:v>720</x:v>
      </x:c>
      <x:c r="J6" s="10" t="str">
        <x:v>https://www.digikey.com/en/product-highlight/m/molex/micro-fit-3-0-pre-crimped-jumper-leads</x:v>
      </x:c>
      <x:c r="K6" s="10" t="str">
        <x:v>Decidido</x:v>
      </x:c>
      <x:c r="L6" s="10" t="str">
        <x:v>Para 5V, GND, DATA y extra.</x:v>
      </x:c>
    </x:row>
    <x:row r="7" ht="40.5" customHeight="1">
      <x:c r="A7" s="10" t="str">
        <x:v>Conexion modular</x:v>
      </x:c>
      <x:c r="B7" s="10" t="str">
        <x:v>Conector pogo magnetico 3 pines</x:v>
      </x:c>
      <x:c r="C7" s="11" t="n">
        <x:v>4</x:v>
      </x:c>
      <x:c r="D7" s="11" t="n">
        <x:f>C7*60</x:f>
        <x:v>240</x:v>
      </x:c>
      <x:c r="E7" s="10" t="str">
        <x:v>3Pin magnetic pogo</x:v>
      </x:c>
      <x:c r="F7" s="12" t="n">
        <x:v>0.5</x:v>
      </x:c>
      <x:c r="G7" s="12" t="n">
        <x:v>2</x:v>
      </x:c>
      <x:c r="H7" s="12" t="n">
        <x:f>D7*F7</x:f>
        <x:v>120</x:v>
      </x:c>
      <x:c r="I7" s="12" t="n">
        <x:f>D7*G7</x:f>
        <x:v>480</x:v>
      </x:c>
      <x:c r="J7" s="10" t="str">
        <x:v>https://www.amazon.com/-/es/gp/product/B0D93X2TTT</x:v>
      </x:c>
      <x:c r="K7" s="10" t="str">
        <x:v>Opcional</x:v>
      </x:c>
      <x:c r="L7" s="10" t="str">
        <x:v>Solo senal/docking; no corriente LED principal.</x:v>
      </x:c>
    </x:row>
    <x:row r="8" ht="40.5" customHeight="1">
      <x:c r="A8" s="10" t="str">
        <x:v>Alimentacion general</x:v>
      </x:c>
      <x:c r="B8" s="10" t="str">
        <x:v>Fuente 5V DC</x:v>
      </x:c>
      <x:c r="C8" s="11" t="n">
        <x:v>0.05</x:v>
      </x:c>
      <x:c r="D8" s="11" t="n">
        <x:f>3</x:f>
        <x:v>3</x:v>
      </x:c>
      <x:c r="E8" s="10" t="str">
        <x:v>Mean Well LRS-350-5, 5V 60A</x:v>
      </x:c>
      <x:c r="F8" s="12" t="n">
        <x:v>30</x:v>
      </x:c>
      <x:c r="G8" s="12" t="n">
        <x:v>45</x:v>
      </x:c>
      <x:c r="H8" s="12" t="n">
        <x:f>D8*F8</x:f>
        <x:v>90</x:v>
      </x:c>
      <x:c r="I8" s="12" t="n">
        <x:f>D8*G8</x:f>
        <x:v>135</x:v>
      </x:c>
      <x:c r="J8" s="10" t="str">
        <x:v>https://www.digikey.com/en/products/detail/mean-well-usa-inc/LRS-350-5/7705037</x:v>
      </x:c>
      <x:c r="K8" s="10" t="str">
        <x:v>Decidido</x:v>
      </x:c>
      <x:c r="L8" s="10" t="str">
        <x:v>Tres fuentes total, una por cada 20 modulos.</x:v>
      </x:c>
    </x:row>
    <x:row r="9" ht="40.5" customHeight="1">
      <x:c r="A9" s="10" t="str">
        <x:v>Estructura</x:v>
      </x:c>
      <x:c r="B9" s="10" t="str">
        <x:v>Carcasa / soporte</x:v>
      </x:c>
      <x:c r="C9" s="11" t="n">
        <x:v>1</x:v>
      </x:c>
      <x:c r="D9" s="11" t="n">
        <x:f>C9*60</x:f>
        <x:v>60</x:v>
      </x:c>
      <x:c r="E9" s="10" t="str">
        <x:v>3D print / laser cut</x:v>
      </x:c>
      <x:c r="F9" s="12" t="n">
        <x:v>12</x:v>
      </x:c>
      <x:c r="G9" s="12" t="n">
        <x:v>12</x:v>
      </x:c>
      <x:c r="H9" s="12" t="n">
        <x:f>D9*F9</x:f>
        <x:v>720</x:v>
      </x:c>
      <x:c r="I9" s="12" t="n">
        <x:f>D9*G9</x:f>
        <x:v>720</x:v>
      </x:c>
      <x:c r="J9" s="10" t="str">
        <x:v>Pendiente</x:v>
      </x:c>
      <x:c r="K9" s="10" t="str">
        <x:v>Decidido</x:v>
      </x:c>
      <x:c r="L9" s="10" t="str">
        <x:v>Estimado por modulo.</x:v>
      </x:c>
    </x:row>
    <x:row r="10">
      <x:c r="A10" s="10"/>
      <x:c r="B10" s="10"/>
      <x:c r="C10" s="10"/>
      <x:c r="D10" s="10"/>
      <x:c r="E10" s="10"/>
      <x:c r="F10" s="12"/>
      <x:c r="G10" s="12"/>
      <x:c r="H10" s="12"/>
      <x:c r="I10" s="12"/>
      <x:c r="J10" s="10"/>
      <x:c r="K10" s="10"/>
      <x:c r="L10" s="10"/>
    </x:row>
    <x:row r="11">
      <x:c r="A11" s="13" t="str">
        <x:v>Resumen</x:v>
      </x:c>
      <x:c r="B11" s="13" t="str"/>
      <x:c r="C11" s="13" t="str"/>
      <x:c r="D11" s="13" t="str"/>
      <x:c r="E11" s="13" t="str"/>
      <x:c r="F11" s="14" t="str">
        <x:v>Bajo</x:v>
      </x:c>
      <x:c r="G11" s="14" t="str">
        <x:v>Alto</x:v>
      </x:c>
      <x:c r="H11" s="12"/>
      <x:c r="I11" s="12"/>
      <x:c r="J11" s="10"/>
      <x:c r="K11" s="10"/>
      <x:c r="L11" s="10"/>
    </x:row>
    <x:row r="12">
      <x:c r="A12" s="15" t="str">
        <x:v>Total BOM para 60 modulos</x:v>
      </x:c>
      <x:c r="B12" s="10" t="str"/>
      <x:c r="C12" s="10" t="str"/>
      <x:c r="D12" s="10" t="str"/>
      <x:c r="E12" s="10" t="str"/>
      <x:c r="F12" s="12" t="n">
        <x:f>SUM(H2:H9)</x:f>
        <x:v>1950</x:v>
      </x:c>
      <x:c r="G12" s="12" t="n">
        <x:f>SUM(I2:I9)</x:f>
        <x:v>3435</x:v>
      </x:c>
      <x:c r="H12" s="12"/>
      <x:c r="I12" s="12"/>
      <x:c r="J12" s="10"/>
      <x:c r="K12" s="10"/>
      <x:c r="L12" s="10"/>
    </x:row>
    <x:row r="13">
      <x:c r="A13" s="15" t="str">
        <x:v>Total por modulo equivalente</x:v>
      </x:c>
      <x:c r="B13" s="10" t="str"/>
      <x:c r="C13" s="10" t="str"/>
      <x:c r="D13" s="10" t="str"/>
      <x:c r="E13" s="10" t="str"/>
      <x:c r="F13" s="12" t="n">
        <x:f>F12/60</x:f>
        <x:v>32.5</x:v>
      </x:c>
      <x:c r="G13" s="12" t="n">
        <x:f>G12/60</x:f>
        <x:v>57.25</x:v>
      </x:c>
      <x:c r="H13" s="12"/>
      <x:c r="I13" s="12"/>
      <x:c r="J13" s="10"/>
      <x:c r="K13" s="10"/>
      <x:c r="L13" s="10"/>
    </x:row>
    <x:row r="14">
      <x:c r="A14" s="15" t="str">
        <x:v>Total fuentes compartidas</x:v>
      </x:c>
      <x:c r="B14" s="10" t="str"/>
      <x:c r="C14" s="10" t="str"/>
      <x:c r="D14" s="10" t="str"/>
      <x:c r="E14" s="10" t="str"/>
      <x:c r="F14" s="12" t="n">
        <x:f>H8</x:f>
        <x:v>90</x:v>
      </x:c>
      <x:c r="G14" s="12" t="n">
        <x:f>I8</x:f>
        <x:v>135</x:v>
      </x:c>
      <x:c r="H14" s="12"/>
      <x:c r="I14" s="12"/>
      <x:c r="J14" s="10"/>
      <x:c r="K14" s="10"/>
      <x:c r="L14" s="10"/>
    </x:row>
    <x:row r="15">
      <x:c r="A15" s="15" t="str">
        <x:v>Total estructura 60 modulos</x:v>
      </x:c>
      <x:c r="B15" s="10" t="str"/>
      <x:c r="C15" s="10" t="str"/>
      <x:c r="D15" s="10" t="str"/>
      <x:c r="E15" s="10" t="str"/>
      <x:c r="F15" s="12" t="n">
        <x:f>H9</x:f>
        <x:v>720</x:v>
      </x:c>
      <x:c r="G15" s="12" t="n">
        <x:f>I9</x:f>
        <x:v>720</x:v>
      </x:c>
      <x:c r="H15" s="12"/>
      <x:c r="I15" s="12"/>
      <x:c r="J15" s="10"/>
      <x:c r="K15" s="10"/>
      <x:c r="L15" s="10"/>
    </x:row>
    <x:row r="16">
      <x:c r="A16" s="15" t="str">
        <x:v>Notas</x:v>
      </x:c>
      <x:c r="B16" s="10" t="str">
        <x:v>Los precios son rangos de planificacion. Confirmar antes de compra.</x:v>
      </x:c>
      <x:c r="C16" s="10" t="str"/>
      <x:c r="D16" s="10" t="str"/>
      <x:c r="E16" s="10" t="str"/>
      <x:c r="F16" s="10" t="str"/>
      <x:c r="G16" s="10" t="str"/>
      <x:c r="H16" s="10"/>
      <x:c r="I16" s="10"/>
      <x:c r="J16" s="10"/>
      <x:c r="K16" s="10"/>
      <x:c r="L16" s="10"/>
    </x:row>
  </x:sheetData>
  <x:pageMargins left="0.7" right="0.7" top="0.75" bottom="0.75" header="0.3" footer="0.3"/>
  <x:tableParts count="1">
    <x:tablePart xmlns:r="http://schemas.openxmlformats.org/officeDocument/2006/relationships" r:id="R3e0f81c7767149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3.75" hidden="0" customWidth="1"/>
    <x:col min="3" max="3" width="5" hidden="0" customWidth="1"/>
    <x:col min="4" max="4" width="13.75" hidden="0" customWidth="1"/>
    <x:col min="5" max="5" width="20" hidden="0" customWidth="1"/>
  </x:cols>
  <x:sheetData>
    <x:row r="1">
      <x:c r="A1" s="20" t="str">
        <x:v>Power Plan</x:v>
      </x:c>
      <x:c r="B1" s="20" t="str"/>
      <x:c r="C1" s="20" t="str"/>
      <x:c r="D1" s="20" t="str"/>
      <x:c r="E1" s="20" t="str"/>
    </x:row>
    <x:row r="2">
      <x:c r="A2" s="10"/>
      <x:c r="B2" s="10"/>
      <x:c r="C2" s="10"/>
      <x:c r="D2" s="10"/>
      <x:c r="E2" s="10"/>
    </x:row>
    <x:row r="3">
      <x:c r="A3" s="15" t="str">
        <x:v>Modulos</x:v>
      </x:c>
      <x:c r="B3" s="10" t="n">
        <x:v>60</x:v>
      </x:c>
      <x:c r="C3" s="10"/>
      <x:c r="D3" s="13" t="str">
        <x:v>Rama</x:v>
      </x:c>
      <x:c r="E3" s="13" t="str">
        <x:v>Modulos</x:v>
      </x:c>
    </x:row>
    <x:row r="4">
      <x:c r="A4" s="15" t="str">
        <x:v>LEDs por modulo</x:v>
      </x:c>
      <x:c r="B4" s="10" t="n">
        <x:v>40</x:v>
      </x:c>
      <x:c r="C4" s="10"/>
      <x:c r="D4" s="10" t="str">
        <x:v>A</x:v>
      </x:c>
      <x:c r="E4" s="10" t="n">
        <x:v>20</x:v>
      </x:c>
    </x:row>
    <x:row r="5">
      <x:c r="A5" s="15" t="str">
        <x:v>Total LEDs</x:v>
      </x:c>
      <x:c r="B5" s="10" t="n">
        <x:f>B3*B4</x:f>
        <x:v>2400</x:v>
      </x:c>
      <x:c r="C5" s="10"/>
      <x:c r="D5" s="10" t="str">
        <x:v>B</x:v>
      </x:c>
      <x:c r="E5" s="10" t="n">
        <x:v>20</x:v>
      </x:c>
    </x:row>
    <x:row r="6">
      <x:c r="A6" s="15" t="str">
        <x:v>Consumo max LED (A)</x:v>
      </x:c>
      <x:c r="B6" s="21" t="n">
        <x:v>0.06</x:v>
      </x:c>
      <x:c r="C6" s="10"/>
      <x:c r="D6" s="10" t="str">
        <x:v>C</x:v>
      </x:c>
      <x:c r="E6" s="10" t="n">
        <x:v>20</x:v>
      </x:c>
    </x:row>
    <x:row r="7">
      <x:c r="A7" s="15" t="str">
        <x:v>Consumo max LEDs (A)</x:v>
      </x:c>
      <x:c r="B7" s="21" t="n">
        <x:f>B5*B6</x:f>
        <x:v>144</x:v>
      </x:c>
      <x:c r="C7" s="10"/>
      <x:c r="D7" s="10" t="str">
        <x:v>Total</x:v>
      </x:c>
      <x:c r="E7" s="10" t="n">
        <x:f>SUM(E4:E6)</x:f>
        <x:v>60</x:v>
      </x:c>
    </x:row>
    <x:row r="8">
      <x:c r="A8" s="15" t="str">
        <x:v>Electronica por modulo (A)</x:v>
      </x:c>
      <x:c r="B8" s="21" t="n">
        <x:v>0.3</x:v>
      </x:c>
      <x:c r="C8" s="10"/>
      <x:c r="D8" s="10"/>
      <x:c r="E8" s="10"/>
    </x:row>
    <x:row r="9">
      <x:c r="A9" s="15" t="str">
        <x:v>Consumo electronica (A)</x:v>
      </x:c>
      <x:c r="B9" s="21" t="n">
        <x:f>B3*B8</x:f>
        <x:v>18</x:v>
      </x:c>
      <x:c r="C9" s="10"/>
      <x:c r="D9" s="10"/>
      <x:c r="E9" s="10"/>
    </x:row>
    <x:row r="10">
      <x:c r="A10" s="15" t="str">
        <x:v>Total max estimado (A)</x:v>
      </x:c>
      <x:c r="B10" s="21" t="n">
        <x:f>B7+B9</x:f>
        <x:v>162</x:v>
      </x:c>
      <x:c r="C10" s="10"/>
      <x:c r="D10" s="10"/>
      <x:c r="E10" s="10"/>
    </x:row>
    <x:row r="11">
      <x:c r="A11" s="15" t="str">
        <x:v>Fuentes recomendadas</x:v>
      </x:c>
      <x:c r="B11" s="10" t="str">
        <x:v>3 x Mean Well LRS-350-5, 5V 60A</x:v>
      </x:c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9" t="str">
        <x:v>Architecture note</x:v>
      </x:c>
      <x:c r="B13" s="19" t="str"/>
      <x:c r="C13" s="19" t="str"/>
      <x:c r="D13" s="19" t="str"/>
      <x:c r="E13" s="19" t="str"/>
    </x:row>
    <x:row r="14">
      <x:c r="A14" s="19" t="str">
        <x:v>Use thick 5V/GND distribution wiring for LED power. Micro-Fit style connectors can carry module power and signal. Magnetic pogo connectors should stay optional for signal, docking, detect lines, or alignment.</x:v>
      </x:c>
      <x:c r="B14" s="19" t="str"/>
      <x:c r="C14" s="19" t="str"/>
      <x:c r="D14" s="19" t="str"/>
      <x:c r="E14" s="19" t="str"/>
    </x:row>
    <x:row r="15">
      <x:c r="A15" s="19" t="str">
        <x:v>Do not pass main LED current through generic pogo pins.</x:v>
      </x:c>
      <x:c r="B15" s="19" t="str"/>
      <x:c r="C15" s="19" t="str"/>
      <x:c r="D15" s="19" t="str"/>
      <x:c r="E15" s="19" t="str"/>
    </x:row>
  </x:sheetData>
  <x:mergeCells>
    <x:mergeCell ref="A1:E1"/>
    <x:mergeCell ref="A13:E13"/>
    <x:mergeCell ref="A14:E14"/>
    <x:mergeCell ref="A15:E15"/>
  </x:mergeCells>
  <x:pageMargins left="0.7" right="0.7" top="0.75" bottom="0.75" header="0.3" footer="0.3"/>
</x:worksheet>
</file>